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5446c3d36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city Summary" sheetId="1" r:id="R7e5cc13e1ff6414b"/>
    <x:sheet xmlns:r="http://schemas.openxmlformats.org/officeDocument/2006/relationships" name="Paddock Detail" sheetId="2" r:id="R8e11fab02c7647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%"/>
    <x:numFmt numFmtId="202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05145"/>
      <x:name val="Carlito"/>
    </x:font>
    <x:font>
      <x:b/>
      <x:sz val="11"/>
      <x:color rgb="FF1F352B"/>
      <x:name val="Carlito"/>
    </x:font>
    <x:font>
      <x:b/>
      <x:sz val="11"/>
      <x:color rgb="FF4C3A22"/>
      <x:name val="Carlito"/>
    </x:font>
    <x:font>
      <x:b/>
      <x:sz val="11"/>
      <x:color rgb="FFFFFFFF"/>
      <x:name val="Carlito"/>
    </x:font>
    <x:font>
      <x:b/>
      <x:sz val="13"/>
      <x:color rgb="FF1F352B"/>
      <x:name val="Carlito"/>
    </x:font>
    <x:font>
      <x:b/>
      <x:sz val="13"/>
      <x:color rgb="FF4C3A2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74C3A"/>
      </x:patternFill>
    </x:fill>
    <x:fill>
      <x:patternFill patternType="solid">
        <x:fgColor rgb="FFF6F4EE"/>
      </x:patternFill>
    </x:fill>
    <x:fill>
      <x:patternFill patternType="solid">
        <x:fgColor rgb="FFDDE7D8"/>
      </x:patternFill>
    </x:fill>
    <x:fill>
      <x:patternFill patternType="solid">
        <x:fgColor rgb="FFF3EBDD"/>
      </x:patternFill>
    </x:fill>
    <x:fill>
      <x:patternFill patternType="solid">
        <x:fgColor rgb="FF6B4E2E"/>
      </x:patternFill>
    </x:fill>
    <x:fill>
      <x:patternFill patternType="solid">
        <x:fgColor rgb="FFE7EFE3"/>
      </x:patternFill>
    </x:fill>
  </x:fills>
  <x:borders count="18">
    <x:border/>
    <x:border/>
    <x:border>
      <x:left style="thin">
        <x:color rgb="FFC9C9C2"/>
      </x:left>
      <x:top style="thin">
        <x:color rgb="FFC9C9C2"/>
      </x:top>
    </x:border>
    <x:border>
      <x:top style="thin">
        <x:color rgb="FFC9C9C2"/>
      </x:top>
    </x:border>
    <x:border>
      <x:right style="thin">
        <x:color rgb="FFC9C9C2"/>
      </x:right>
      <x:top style="thin">
        <x:color rgb="FFC9C9C2"/>
      </x:top>
    </x:border>
    <x:border>
      <x:left style="thin">
        <x:color rgb="FFC9C9C2"/>
      </x:left>
    </x:border>
    <x:border>
      <x:right style="thin">
        <x:color rgb="FFC9C9C2"/>
      </x:right>
    </x:border>
    <x:border>
      <x:left style="thin">
        <x:color rgb="FFC9C9C2"/>
      </x:left>
      <x:bottom style="thin">
        <x:color rgb="FFC9C9C2"/>
      </x:bottom>
    </x:border>
    <x:border>
      <x:bottom style="thin">
        <x:color rgb="FFC9C9C2"/>
      </x:bottom>
    </x:border>
    <x:border>
      <x:right style="thin">
        <x:color rgb="FFC9C9C2"/>
      </x:right>
      <x:bottom style="thin">
        <x:color rgb="FFC9C9C2"/>
      </x:bottom>
    </x:border>
    <x:border>
      <x:left style="thin">
        <x:color rgb="FFC9C9C2"/>
      </x:left>
      <x:top style="thin">
        <x:color rgb="FFC9C9C2"/>
      </x:top>
    </x:border>
    <x:border>
      <x:top style="thin">
        <x:color rgb="FFC9C9C2"/>
      </x:top>
    </x:border>
    <x:border>
      <x:right style="thin">
        <x:color rgb="FFC9C9C2"/>
      </x:right>
      <x:top style="thin">
        <x:color rgb="FFC9C9C2"/>
      </x:top>
    </x:border>
    <x:border>
      <x:left style="thin">
        <x:color rgb="FFC9C9C2"/>
      </x:left>
    </x:border>
    <x:border>
      <x:right style="thin">
        <x:color rgb="FFC9C9C2"/>
      </x:right>
    </x:border>
    <x:border>
      <x:left style="thin">
        <x:color rgb="FFC9C9C2"/>
      </x:left>
      <x:bottom style="thin">
        <x:color rgb="FFC9C9C2"/>
      </x:bottom>
    </x:border>
    <x:border>
      <x:bottom style="thin">
        <x:color rgb="FFC9C9C2"/>
      </x:bottom>
    </x:border>
    <x:border>
      <x:right style="thin">
        <x:color rgb="FFC9C9C2"/>
      </x:right>
      <x:bottom style="thin">
        <x:color rgb="FFC9C9C2"/>
      </x:bottom>
    </x:border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0" fontId="0" fillId="3" borderId="1" xfId="0" applyNumberFormat="1" applyFont="1" applyFill="1" applyBorder="1"/>
    <x:xf numFmtId="200" fontId="6" fillId="7" borderId="0" xfId="0" applyNumberFormat="1" applyFont="1" applyFill="1" applyBorder="1" applyAlignment="1">
      <x:alignment wrapText="1"/>
    </x:xf>
    <x:xf numFmtId="200" fontId="7" fillId="5" borderId="0" xfId="0" applyNumberFormat="1" applyFont="1" applyFill="1" applyBorder="1" applyAlignment="1">
      <x:alignment wrapText="1"/>
    </x:xf>
    <x:xf numFmtId="200" fontId="6" fillId="7" borderId="1" xfId="0" applyNumberFormat="1" applyFont="1" applyFill="1" applyBorder="1" applyAlignment="1">
      <x:alignment wrapText="1"/>
    </x:xf>
    <x:xf numFmtId="200" fontId="7" fillId="5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7" fillId="5" borderId="0" xfId="0" applyNumberFormat="1" applyFont="1" applyFill="1" applyBorder="1" applyAlignment="1">
      <x:alignment wrapText="1"/>
    </x:xf>
    <x:xf numFmtId="202" fontId="7" fillId="5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200" fontId="6" fillId="7" borderId="0" xfId="0" applyNumberFormat="1" applyFont="1" applyFill="1" applyBorder="1" applyAlignment="1">
      <x:alignment vertical="center" wrapText="1"/>
    </x:xf>
    <x:xf numFmtId="202" fontId="7" fillId="5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200" fontId="6" fillId="7" borderId="1" xfId="0" applyNumberFormat="1" applyFont="1" applyFill="1" applyBorder="1" applyAlignment="1">
      <x:alignment vertical="center" wrapText="1"/>
    </x:xf>
    <x:xf numFmtId="202" fontId="7" fillId="5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6" fillId="7" borderId="8" xfId="0" applyNumberFormat="1" applyFont="1" applyFill="1" applyBorder="1" applyAlignment="1">
      <x:alignment vertical="center" wrapText="1"/>
    </x:xf>
    <x:xf numFmtId="202" fontId="7" fillId="5" borderId="8" xfId="0" applyNumberFormat="1" applyFont="1" applyFill="1" applyBorder="1" applyAlignment="1">
      <x:alignment vertical="center" wrapText="1"/>
    </x:xf>
    <x:xf numFmtId="202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6" fillId="7" borderId="16" xfId="0" applyNumberFormat="1" applyFont="1" applyFill="1" applyBorder="1" applyAlignment="1">
      <x:alignment vertical="center" wrapText="1"/>
    </x:xf>
    <x:xf numFmtId="202" fontId="7" fillId="5" borderId="16" xfId="0" applyNumberFormat="1" applyFont="1" applyFill="1" applyBorder="1" applyAlignment="1">
      <x:alignment vertical="center" wrapText="1"/>
    </x:xf>
    <x:xf numFmtId="202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200" fontId="4" fillId="5" borderId="8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4c9862f3ba4373" /><Relationship Type="http://schemas.openxmlformats.org/officeDocument/2006/relationships/theme" Target="/xl/theme/theme1.xml" Id="Rfb8f4c9c894a4463" /><Relationship Type="http://schemas.openxmlformats.org/officeDocument/2006/relationships/sharedStrings" Target="/xl/sharedStrings.xml" Id="R7b64f59b4ecf433b" /><Relationship Type="http://schemas.openxmlformats.org/officeDocument/2006/relationships/worksheet" Target="/xl/worksheets/sheet1.xml" Id="R7e5cc13e1ff6414b" /><Relationship Type="http://schemas.openxmlformats.org/officeDocument/2006/relationships/worksheet" Target="/xl/worksheets/sheet2.xml" Id="R8e11fab02c7647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8" hidden="0" customWidth="1"/>
    <x:col min="8" max="8" width="38" hidden="0" customWidth="1"/>
  </x:cols>
  <x:sheetData>
    <x:row r="1">
      <x:c r="A1" s="5" t="str">
        <x:v>Clark Farm Pasture-Based Cattle Capacity</x:v>
      </x:c>
      <x:c r="B1" s="5"/>
      <x:c r="C1" s="5"/>
      <x:c r="D1" s="5"/>
      <x:c r="E1" s="5"/>
      <x:c r="F1" s="5"/>
      <x:c r="G1" s="5"/>
      <x:c r="H1" s="5"/>
    </x:row>
    <x:row r="2">
      <x:c r="A2" s="66" t="str">
        <x:v>Planning worksheet based on the current fencing plan and UF/IFAS AN155 stocking-rate framework.</x:v>
      </x:c>
      <x:c r="B2" s="66"/>
      <x:c r="C2" s="66"/>
      <x:c r="D2" s="66"/>
      <x:c r="E2" s="66"/>
      <x:c r="F2" s="66"/>
      <x:c r="G2" s="66"/>
      <x:c r="H2" s="66"/>
    </x:row>
    <x:row r="3">
      <x:c r="A3" s="67"/>
      <x:c r="B3" s="67"/>
      <x:c r="C3" s="67"/>
      <x:c r="D3" s="67"/>
      <x:c r="E3" s="67"/>
      <x:c r="F3" s="67"/>
      <x:c r="G3" s="67"/>
      <x:c r="H3" s="67"/>
    </x:row>
    <x:row r="4">
      <x:c r="A4" s="96" t="str">
        <x:v>Scenario</x:v>
      </x:c>
      <x:c r="B4" s="97" t="str">
        <x:v>Total Acres</x:v>
      </x:c>
      <x:c r="C4" s="97" t="str">
        <x:v>Open / Lightly Wooded Acres</x:v>
      </x:c>
      <x:c r="D4" s="97" t="str">
        <x:v>Dense Wooded Acres</x:v>
      </x:c>
      <x:c r="E4" s="97" t="str">
        <x:v>Open Rate (ac/CE)</x:v>
      </x:c>
      <x:c r="F4" s="97" t="str">
        <x:v>Wooded Rate (ac/CE)</x:v>
      </x:c>
      <x:c r="G4" s="97" t="str">
        <x:v>Open CE</x:v>
      </x:c>
      <x:c r="H4" s="98" t="str">
        <x:v>Wooded CE</x:v>
      </x:c>
    </x:row>
    <x:row r="5">
      <x:c r="A5" s="99" t="str">
        <x:v>Level 1 – Site Pasture Only</x:v>
      </x:c>
      <x:c r="B5" s="69" t="n">
        <x:f>SUMIF('Paddock Detail'!A5:A20,"Site Pasture",'Paddock Detail'!B5:B20)</x:f>
        <x:v>45.1</x:v>
      </x:c>
      <x:c r="C5" s="69" t="n">
        <x:f>SUMIFS('Paddock Detail'!F5:F20,'Paddock Detail'!A5:A20,"Site Pasture")</x:f>
        <x:v>24.7</x:v>
      </x:c>
      <x:c r="D5" s="69" t="n">
        <x:f>SUMIFS('Paddock Detail'!E5:E20,'Paddock Detail'!A5:A20,"Site Pasture")</x:f>
        <x:v>20.4</x:v>
      </x:c>
      <x:c r="E5" s="69" t="n">
        <x:v>4</x:v>
      </x:c>
      <x:c r="F5" s="69" t="n">
        <x:v>25</x:v>
      </x:c>
      <x:c r="G5" s="69" t="n">
        <x:f>C5/E5</x:f>
        <x:v>6.175</x:v>
      </x:c>
      <x:c r="H5" s="100" t="n">
        <x:f>D5/F5</x:f>
        <x:v>0.816</x:v>
      </x:c>
    </x:row>
    <x:row r="6">
      <x:c r="A6" s="99" t="str">
        <x:v>Ultimate – Site + Bonus Pasture</x:v>
      </x:c>
      <x:c r="B6" s="69" t="n">
        <x:f>SUM('Paddock Detail'!B5:B20)</x:f>
        <x:v>99.60000000000001</x:v>
      </x:c>
      <x:c r="C6" s="69" t="n">
        <x:f>SUM('Paddock Detail'!F5:F20)</x:f>
        <x:v>43.766666666666666</x:v>
      </x:c>
      <x:c r="D6" s="69" t="n">
        <x:f>SUM('Paddock Detail'!E5:E20)</x:f>
        <x:v>55.83333333333333</x:v>
      </x:c>
      <x:c r="E6" s="69" t="n">
        <x:v>2</x:v>
      </x:c>
      <x:c r="F6" s="69" t="n">
        <x:v>10</x:v>
      </x:c>
      <x:c r="G6" s="69" t="n">
        <x:f>C6/E6</x:f>
        <x:v>21.883333333333333</x:v>
      </x:c>
      <x:c r="H6" s="100" t="n">
        <x:f>D6/F6</x:f>
        <x:v>5.583333333333333</x:v>
      </x:c>
    </x:row>
    <x:row r="7">
      <x:c r="A7" s="101"/>
      <x:c r="B7" s="67"/>
      <x:c r="C7" s="67"/>
      <x:c r="D7" s="67"/>
      <x:c r="E7" s="67"/>
      <x:c r="F7" s="67"/>
      <x:c r="G7" s="67"/>
      <x:c r="H7" s="102"/>
    </x:row>
    <x:row r="8">
      <x:c r="A8" s="103" t="str">
        <x:v>Scenario</x:v>
      </x:c>
      <x:c r="B8" s="70" t="str">
        <x:v>Open CE</x:v>
      </x:c>
      <x:c r="C8" s="70" t="str">
        <x:v>Wooded CE</x:v>
      </x:c>
      <x:c r="D8" s="70" t="str">
        <x:v>Total CE</x:v>
      </x:c>
      <x:c r="E8" s="70"/>
      <x:c r="F8" s="70" t="str">
        <x:v>Rounded Planning CE</x:v>
      </x:c>
      <x:c r="G8" s="70" t="str">
        <x:v>Earlier Presentation Target</x:v>
      </x:c>
      <x:c r="H8" s="104" t="str">
        <x:v>Comment</x:v>
      </x:c>
    </x:row>
    <x:row r="9">
      <x:c r="A9" s="99" t="str">
        <x:v>Level 1 – Site Pasture Only</x:v>
      </x:c>
      <x:c r="B9" s="69" t="n">
        <x:f>G5</x:f>
        <x:v>6.175</x:v>
      </x:c>
      <x:c r="C9" s="69" t="n">
        <x:f>H5</x:f>
        <x:v>0.816</x:v>
      </x:c>
      <x:c r="D9" s="71" t="n">
        <x:f>B9+C9</x:f>
        <x:v>6.991</x:v>
      </x:c>
      <x:c r="E9" s="69"/>
      <x:c r="F9" s="72" t="n">
        <x:f>ROUND(D9,0)</x:f>
        <x:v>7</x:v>
      </x:c>
      <x:c r="G9" s="73" t="n">
        <x:v>6</x:v>
      </x:c>
      <x:c r="H9" s="105" t="str">
        <x:v>Updated layout yields ~7 CE using the same stocking assumptions.</x:v>
      </x:c>
    </x:row>
    <x:row r="10">
      <x:c r="A10" s="106" t="str">
        <x:v>Ultimate – Site + Bonus Pasture</x:v>
      </x:c>
      <x:c r="B10" s="107" t="n">
        <x:f>G6</x:f>
        <x:v>21.883333333333333</x:v>
      </x:c>
      <x:c r="C10" s="107" t="n">
        <x:f>H6</x:f>
        <x:v>5.583333333333333</x:v>
      </x:c>
      <x:c r="D10" s="108" t="n">
        <x:f>B10+C10</x:f>
        <x:v>27.466666666666665</x:v>
      </x:c>
      <x:c r="E10" s="107"/>
      <x:c r="F10" s="109" t="n">
        <x:f>ROUND(D10,0)</x:f>
        <x:v>27</x:v>
      </x:c>
      <x:c r="G10" s="110" t="n">
        <x:v>25</x:v>
      </x:c>
      <x:c r="H10" s="111" t="str">
        <x:v>Updated layout yields ~27 CE using the same stocking assumptions.</x:v>
      </x:c>
    </x:row>
    <x:row r="11">
      <x:c r="A11" s="67"/>
      <x:c r="B11" s="67"/>
      <x:c r="C11" s="67"/>
      <x:c r="D11" s="67"/>
      <x:c r="E11" s="67"/>
      <x:c r="F11" s="67"/>
      <x:c r="G11" s="67"/>
      <x:c r="H11" s="67"/>
    </x:row>
    <x:row r="12">
      <x:c r="A12" s="67"/>
      <x:c r="B12" s="67"/>
      <x:c r="C12" s="67"/>
      <x:c r="D12" s="67"/>
      <x:c r="E12" s="67"/>
      <x:c r="F12" s="67"/>
      <x:c r="G12" s="67"/>
      <x:c r="H12" s="67"/>
    </x:row>
    <x:row r="13">
      <x:c r="A13" s="74" t="str">
        <x:v>Assumptions / Notes</x:v>
      </x:c>
      <x:c r="B13" s="74"/>
      <x:c r="C13" s="74"/>
      <x:c r="D13" s="74"/>
      <x:c r="E13" s="74"/>
      <x:c r="F13" s="74"/>
      <x:c r="G13" s="74"/>
      <x:c r="H13" s="74"/>
    </x:row>
    <x:row r="14">
      <x:c r="A14" s="68" t="str">
        <x:v>1</x:v>
      </x:c>
      <x:c r="B14" s="68" t="str">
        <x:v>CE = mature-cow equivalent.</x:v>
      </x:c>
      <x:c r="C14" s="68"/>
      <x:c r="D14" s="68"/>
      <x:c r="E14" s="68"/>
      <x:c r="F14" s="68"/>
      <x:c r="G14" s="68"/>
      <x:c r="H14" s="68"/>
    </x:row>
    <x:row r="15">
      <x:c r="A15" s="68" t="str">
        <x:v>2</x:v>
      </x:c>
      <x:c r="B15" s="68" t="str">
        <x:v>Open/lightly wooded acres use the open-pasture stocking rate.</x:v>
      </x:c>
      <x:c r="C15" s="68"/>
      <x:c r="D15" s="68"/>
      <x:c r="E15" s="68"/>
      <x:c r="F15" s="68"/>
      <x:c r="G15" s="68"/>
      <x:c r="H15" s="68"/>
    </x:row>
    <x:row r="16">
      <x:c r="A16" s="68" t="str">
        <x:v>3</x:v>
      </x:c>
      <x:c r="B16" s="68" t="str">
        <x:v>Dense wooded acres use the lower-productivity wooded/native-range planning rate.</x:v>
      </x:c>
      <x:c r="C16" s="68"/>
      <x:c r="D16" s="68"/>
      <x:c r="E16" s="68"/>
      <x:c r="F16" s="68"/>
      <x:c r="G16" s="68"/>
      <x:c r="H16" s="68"/>
    </x:row>
    <x:row r="17">
      <x:c r="A17" s="68" t="str">
        <x:v>4</x:v>
      </x:c>
      <x:c r="B17" s="68" t="str">
        <x:v>The 2.0, 5.2, 3.9, and 3.3 acre top-triangle paddocks are retained in the open/lightly wooded category, with ~40% pine/cabbage-palm canopy noted separately.</x:v>
      </x:c>
      <x:c r="C17" s="68"/>
      <x:c r="D17" s="68"/>
      <x:c r="E17" s="68"/>
      <x:c r="F17" s="68"/>
      <x:c r="G17" s="68"/>
      <x:c r="H17" s="68"/>
    </x:row>
    <x:row r="18">
      <x:c r="A18" s="68" t="str">
        <x:v>5</x:v>
      </x:c>
      <x:c r="B18" s="68" t="str">
        <x:v>Stocking assumptions are planning estimates and should be refined with UF/IFAS based on forage condition, management, and animal type.</x:v>
      </x:c>
      <x:c r="C18" s="68"/>
      <x:c r="D18" s="68"/>
      <x:c r="E18" s="68"/>
      <x:c r="F18" s="68"/>
      <x:c r="G18" s="68"/>
      <x:c r="H18" s="68"/>
    </x:row>
    <x:row r="19">
      <x:c r="A19" s="67"/>
      <x:c r="B19" s="67"/>
      <x:c r="C19" s="67"/>
      <x:c r="D19" s="67"/>
      <x:c r="E19" s="67"/>
      <x:c r="F19" s="67"/>
      <x:c r="G19" s="67"/>
      <x:c r="H19" s="67"/>
    </x:row>
    <x:row r="20">
      <x:c r="A20" s="67" t="str">
        <x:v>Source</x:v>
      </x:c>
      <x:c r="B20" s="67" t="str">
        <x:v>UF/IFAS AN155 – Stocking Rate Decisions</x:v>
      </x:c>
      <x:c r="C20" s="67"/>
      <x:c r="D20" s="67"/>
      <x:c r="E20" s="67"/>
      <x:c r="F20" s="67"/>
      <x:c r="G20" s="67"/>
      <x:c r="H20" s="67"/>
    </x:row>
    <x:row r="21">
      <x:c r="A21" s="67" t="str">
        <x:v>URL</x:v>
      </x:c>
      <x:c r="B21" s="67" t="str">
        <x:v>https://ask.ifas.ufl.edu/publication/AN155</x:v>
      </x:c>
      <x:c r="C21" s="67"/>
      <x:c r="D21" s="67"/>
      <x:c r="E21" s="67"/>
      <x:c r="F21" s="67"/>
      <x:c r="G21" s="67"/>
      <x:c r="H21" s="67"/>
    </x:row>
    <x:row r="22">
      <x:c r="A22" s="67"/>
      <x:c r="B22" s="67"/>
      <x:c r="C22" s="67"/>
      <x:c r="D22" s="67"/>
      <x:c r="E22" s="67"/>
      <x:c r="F22" s="67"/>
      <x:c r="G22" s="67"/>
      <x:c r="H22" s="67"/>
    </x:row>
    <x:row r="23">
      <x:c r="A23" s="67"/>
      <x:c r="B23" s="67"/>
      <x:c r="C23" s="67"/>
      <x:c r="D23" s="67"/>
      <x:c r="E23" s="67"/>
      <x:c r="F23" s="67"/>
      <x:c r="G23" s="67"/>
      <x:c r="H23" s="67"/>
    </x:row>
    <x:row r="24">
      <x:c r="A24" s="67"/>
      <x:c r="B24" s="67"/>
      <x:c r="C24" s="67"/>
      <x:c r="D24" s="67"/>
      <x:c r="E24" s="67"/>
      <x:c r="F24" s="67"/>
      <x:c r="G24" s="67"/>
      <x:c r="H24" s="67"/>
    </x:row>
    <x:row r="25">
      <x:c r="A25" s="67"/>
      <x:c r="B25" s="67"/>
      <x:c r="C25" s="67"/>
      <x:c r="D25" s="67"/>
      <x:c r="E25" s="67"/>
      <x:c r="F25" s="67"/>
      <x:c r="G25" s="67"/>
      <x:c r="H25" s="67"/>
    </x:row>
    <x:row r="26">
      <x:c r="A26" s="67"/>
      <x:c r="B26" s="67"/>
      <x:c r="C26" s="67"/>
      <x:c r="D26" s="67"/>
      <x:c r="E26" s="67"/>
      <x:c r="F26" s="67"/>
      <x:c r="G26" s="67"/>
      <x:c r="H26" s="67"/>
    </x:row>
    <x:row r="27">
      <x:c r="A27" s="67"/>
      <x:c r="B27" s="67"/>
      <x:c r="C27" s="67"/>
      <x:c r="D27" s="67"/>
      <x:c r="E27" s="67"/>
      <x:c r="F27" s="67"/>
      <x:c r="G27" s="67"/>
      <x:c r="H27" s="67"/>
    </x:row>
    <x:row r="28">
      <x:c r="A28" s="67"/>
      <x:c r="B28" s="67"/>
      <x:c r="C28" s="67"/>
      <x:c r="D28" s="67"/>
      <x:c r="E28" s="67"/>
      <x:c r="F28" s="67"/>
      <x:c r="G28" s="67"/>
      <x:c r="H28" s="67"/>
    </x:row>
    <x:row r="29">
      <x:c r="A29" s="67"/>
      <x:c r="B29" s="67"/>
      <x:c r="C29" s="67"/>
      <x:c r="D29" s="67"/>
      <x:c r="E29" s="67"/>
      <x:c r="F29" s="67"/>
      <x:c r="G29" s="67"/>
      <x:c r="H29" s="67"/>
    </x:row>
    <x:row r="30">
      <x:c r="A30" s="67"/>
      <x:c r="B30" s="67"/>
      <x:c r="C30" s="67"/>
      <x:c r="D30" s="67"/>
      <x:c r="E30" s="67"/>
      <x:c r="F30" s="67"/>
      <x:c r="G30" s="67"/>
      <x:c r="H30" s="67"/>
    </x:row>
  </x:sheetData>
  <x:mergeCells>
    <x:mergeCell ref="A1:H1"/>
    <x:mergeCell ref="A2:H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20" hidden="0" customWidth="1"/>
    <x:col min="8" max="8" width="36" hidden="0" customWidth="1"/>
  </x:cols>
  <x:sheetData>
    <x:row r="1">
      <x:c r="A1" s="5" t="str">
        <x:v>Clark Farm Pasture Calculations – Paddock Detail</x:v>
      </x:c>
      <x:c r="B1" s="5"/>
      <x:c r="C1" s="5"/>
      <x:c r="D1" s="5"/>
      <x:c r="E1" s="5"/>
      <x:c r="F1" s="5"/>
      <x:c r="G1" s="5"/>
      <x:c r="H1" s="5"/>
    </x:row>
    <x:row r="2">
      <x:c r="A2" s="66" t="str">
        <x:v>Latest fencing layout and vegetation assumptions used for cattle carrying-capacity planning.</x:v>
      </x:c>
      <x:c r="B2" s="66"/>
      <x:c r="C2" s="66"/>
      <x:c r="D2" s="66"/>
      <x:c r="E2" s="66"/>
      <x:c r="F2" s="66"/>
      <x:c r="G2" s="66"/>
      <x:c r="H2" s="66"/>
    </x:row>
    <x:row r="3">
      <x:c r="A3" s="67"/>
      <x:c r="B3" s="67"/>
      <x:c r="C3" s="67"/>
      <x:c r="D3" s="67"/>
      <x:c r="E3" s="67"/>
      <x:c r="F3" s="67"/>
      <x:c r="G3" s="67"/>
      <x:c r="H3" s="67"/>
    </x:row>
    <x:row r="4">
      <x:c r="A4" s="96" t="str">
        <x:v>Pasture Area</x:v>
      </x:c>
      <x:c r="B4" s="97" t="str">
        <x:v>Paddock (ac)</x:v>
      </x:c>
      <x:c r="C4" s="97" t="str">
        <x:v>Dense Wooded %</x:v>
      </x:c>
      <x:c r="D4" s="97" t="str">
        <x:v>Light Canopy %</x:v>
      </x:c>
      <x:c r="E4" s="97" t="str">
        <x:v>Dense Wooded Acres</x:v>
      </x:c>
      <x:c r="F4" s="97" t="str">
        <x:v>Open / Lightly Wooded Acres</x:v>
      </x:c>
      <x:c r="G4" s="97" t="str">
        <x:v>Capacity Class</x:v>
      </x:c>
      <x:c r="H4" s="98" t="str">
        <x:v>Notes</x:v>
      </x:c>
    </x:row>
    <x:row r="5">
      <x:c r="A5" s="99" t="str">
        <x:v>Site Pasture</x:v>
      </x:c>
      <x:c r="B5" s="69" t="n">
        <x:v>2.1</x:v>
      </x:c>
      <x:c r="C5" s="84" t="n">
        <x:v>0</x:v>
      </x:c>
      <x:c r="D5" s="84" t="n">
        <x:v>0</x:v>
      </x:c>
      <x:c r="E5" s="69" t="n">
        <x:f>B5*C5</x:f>
        <x:v>0</x:v>
      </x:c>
      <x:c r="F5" s="69" t="n">
        <x:f>B5-E5</x:f>
        <x:v>2.1</x:v>
      </x:c>
      <x:c r="G5" s="68" t="str">
        <x:v>Open / Lightly Wooded</x:v>
      </x:c>
      <x:c r="H5" s="105" t="str"/>
    </x:row>
    <x:row r="6">
      <x:c r="A6" s="99" t="str">
        <x:v>Site Pasture</x:v>
      </x:c>
      <x:c r="B6" s="69" t="n">
        <x:v>3.4</x:v>
      </x:c>
      <x:c r="C6" s="84" t="n">
        <x:v>0</x:v>
      </x:c>
      <x:c r="D6" s="84" t="n">
        <x:v>0</x:v>
      </x:c>
      <x:c r="E6" s="69" t="n">
        <x:f>B6*C6</x:f>
        <x:v>0</x:v>
      </x:c>
      <x:c r="F6" s="69" t="n">
        <x:f>B6-E6</x:f>
        <x:v>3.4</x:v>
      </x:c>
      <x:c r="G6" s="68" t="str">
        <x:v>Open / Lightly Wooded</x:v>
      </x:c>
      <x:c r="H6" s="105" t="str"/>
    </x:row>
    <x:row r="7">
      <x:c r="A7" s="99" t="str">
        <x:v>Site Pasture</x:v>
      </x:c>
      <x:c r="B7" s="69" t="n">
        <x:v>8</x:v>
      </x:c>
      <x:c r="C7" s="84" t="n">
        <x:v>1</x:v>
      </x:c>
      <x:c r="D7" s="84" t="n">
        <x:v>0</x:v>
      </x:c>
      <x:c r="E7" s="69" t="n">
        <x:f>B7*C7</x:f>
        <x:v>8</x:v>
      </x:c>
      <x:c r="F7" s="69" t="n">
        <x:f>B7-E7</x:f>
        <x:v>0</x:v>
      </x:c>
      <x:c r="G7" s="68" t="str">
        <x:v>Dense Wooded</x:v>
      </x:c>
      <x:c r="H7" s="105" t="str">
        <x:v>Dense oak woodland</x:v>
      </x:c>
    </x:row>
    <x:row r="8">
      <x:c r="A8" s="99" t="str">
        <x:v>Site Pasture</x:v>
      </x:c>
      <x:c r="B8" s="69" t="n">
        <x:v>4.8</x:v>
      </x:c>
      <x:c r="C8" s="84" t="n">
        <x:v>0</x:v>
      </x:c>
      <x:c r="D8" s="84" t="n">
        <x:v>0</x:v>
      </x:c>
      <x:c r="E8" s="69" t="n">
        <x:f>B8*C8</x:f>
        <x:v>0</x:v>
      </x:c>
      <x:c r="F8" s="69" t="n">
        <x:f>B8-E8</x:f>
        <x:v>4.8</x:v>
      </x:c>
      <x:c r="G8" s="68" t="str">
        <x:v>Open / Lightly Wooded</x:v>
      </x:c>
      <x:c r="H8" s="105" t="str"/>
    </x:row>
    <x:row r="9">
      <x:c r="A9" s="99" t="str">
        <x:v>Site Pasture</x:v>
      </x:c>
      <x:c r="B9" s="69" t="n">
        <x:v>12.4</x:v>
      </x:c>
      <x:c r="C9" s="84" t="n">
        <x:v>1</x:v>
      </x:c>
      <x:c r="D9" s="84" t="n">
        <x:v>0</x:v>
      </x:c>
      <x:c r="E9" s="69" t="n">
        <x:f>B9*C9</x:f>
        <x:v>12.4</x:v>
      </x:c>
      <x:c r="F9" s="69" t="n">
        <x:f>B9-E9</x:f>
        <x:v>0</x:v>
      </x:c>
      <x:c r="G9" s="68" t="str">
        <x:v>Dense Wooded</x:v>
      </x:c>
      <x:c r="H9" s="105" t="str">
        <x:v>Dense oak woodland</x:v>
      </x:c>
    </x:row>
    <x:row r="10">
      <x:c r="A10" s="99" t="str">
        <x:v>Site Pasture</x:v>
      </x:c>
      <x:c r="B10" s="69" t="n">
        <x:v>2</x:v>
      </x:c>
      <x:c r="C10" s="84" t="n">
        <x:v>0</x:v>
      </x:c>
      <x:c r="D10" s="84" t="n">
        <x:v>0.4</x:v>
      </x:c>
      <x:c r="E10" s="69" t="n">
        <x:f>B10*C10</x:f>
        <x:v>0</x:v>
      </x:c>
      <x:c r="F10" s="69" t="n">
        <x:f>B10-E10</x:f>
        <x:v>2</x:v>
      </x:c>
      <x:c r="G10" s="68" t="str">
        <x:v>Open / Lightly Wooded</x:v>
      </x:c>
      <x:c r="H10" s="105" t="str">
        <x:v>Top triangle; ~40% pine/cabbage palm canopy</x:v>
      </x:c>
    </x:row>
    <x:row r="11">
      <x:c r="A11" s="99" t="str">
        <x:v>Site Pasture</x:v>
      </x:c>
      <x:c r="B11" s="69" t="n">
        <x:v>5.2</x:v>
      </x:c>
      <x:c r="C11" s="84" t="n">
        <x:v>0</x:v>
      </x:c>
      <x:c r="D11" s="84" t="n">
        <x:v>0.4</x:v>
      </x:c>
      <x:c r="E11" s="69" t="n">
        <x:f>B11*C11</x:f>
        <x:v>0</x:v>
      </x:c>
      <x:c r="F11" s="69" t="n">
        <x:f>B11-E11</x:f>
        <x:v>5.2</x:v>
      </x:c>
      <x:c r="G11" s="68" t="str">
        <x:v>Open / Lightly Wooded</x:v>
      </x:c>
      <x:c r="H11" s="105" t="str">
        <x:v>Top triangle; ~40% pine/cabbage palm canopy</x:v>
      </x:c>
    </x:row>
    <x:row r="12">
      <x:c r="A12" s="99" t="str">
        <x:v>Site Pasture</x:v>
      </x:c>
      <x:c r="B12" s="69" t="n">
        <x:v>3.9</x:v>
      </x:c>
      <x:c r="C12" s="84" t="n">
        <x:v>0</x:v>
      </x:c>
      <x:c r="D12" s="84" t="n">
        <x:v>0.4</x:v>
      </x:c>
      <x:c r="E12" s="69" t="n">
        <x:f>B12*C12</x:f>
        <x:v>0</x:v>
      </x:c>
      <x:c r="F12" s="69" t="n">
        <x:f>B12-E12</x:f>
        <x:v>3.9</x:v>
      </x:c>
      <x:c r="G12" s="68" t="str">
        <x:v>Open / Lightly Wooded</x:v>
      </x:c>
      <x:c r="H12" s="105" t="str">
        <x:v>Top triangle; ~40% pine/cabbage palm canopy</x:v>
      </x:c>
    </x:row>
    <x:row r="13">
      <x:c r="A13" s="99" t="str">
        <x:v>Site Pasture</x:v>
      </x:c>
      <x:c r="B13" s="69" t="n">
        <x:v>3.3</x:v>
      </x:c>
      <x:c r="C13" s="84" t="n">
        <x:v>0</x:v>
      </x:c>
      <x:c r="D13" s="84" t="n">
        <x:v>0.4</x:v>
      </x:c>
      <x:c r="E13" s="69" t="n">
        <x:f>B13*C13</x:f>
        <x:v>0</x:v>
      </x:c>
      <x:c r="F13" s="69" t="n">
        <x:f>B13-E13</x:f>
        <x:v>3.3</x:v>
      </x:c>
      <x:c r="G13" s="68" t="str">
        <x:v>Open / Lightly Wooded</x:v>
      </x:c>
      <x:c r="H13" s="105" t="str">
        <x:v>Top triangle; ~40% pine/cabbage palm canopy</x:v>
      </x:c>
    </x:row>
    <x:row r="14">
      <x:c r="A14" s="99" t="str">
        <x:v>Bonus Pasture</x:v>
      </x:c>
      <x:c r="B14" s="69" t="n">
        <x:v>13</x:v>
      </x:c>
      <x:c r="C14" s="84" t="n">
        <x:v>0.3333333333333333</x:v>
      </x:c>
      <x:c r="D14" s="84" t="n">
        <x:v>0</x:v>
      </x:c>
      <x:c r="E14" s="69" t="n">
        <x:f>B14*C14</x:f>
        <x:v>4.333333333333333</x:v>
      </x:c>
      <x:c r="F14" s="69" t="n">
        <x:f>B14-E14</x:f>
        <x:v>8.666666666666668</x:v>
      </x:c>
      <x:c r="G14" s="68" t="str">
        <x:v>Mixed</x:v>
      </x:c>
      <x:c r="H14" s="105" t="str">
        <x:v>One-third treated as dense wooded</x:v>
      </x:c>
    </x:row>
    <x:row r="15">
      <x:c r="A15" s="99" t="str">
        <x:v>Bonus Pasture</x:v>
      </x:c>
      <x:c r="B15" s="69" t="n">
        <x:v>2.5</x:v>
      </x:c>
      <x:c r="C15" s="84" t="n">
        <x:v>0</x:v>
      </x:c>
      <x:c r="D15" s="84" t="n">
        <x:v>0</x:v>
      </x:c>
      <x:c r="E15" s="69" t="n">
        <x:f>B15*C15</x:f>
        <x:v>0</x:v>
      </x:c>
      <x:c r="F15" s="69" t="n">
        <x:f>B15-E15</x:f>
        <x:v>2.5</x:v>
      </x:c>
      <x:c r="G15" s="68" t="str">
        <x:v>Open / Lightly Wooded</x:v>
      </x:c>
      <x:c r="H15" s="105" t="str"/>
    </x:row>
    <x:row r="16">
      <x:c r="A16" s="99" t="str">
        <x:v>Bonus Pasture</x:v>
      </x:c>
      <x:c r="B16" s="69" t="n">
        <x:v>7.7</x:v>
      </x:c>
      <x:c r="C16" s="84" t="n">
        <x:v>1</x:v>
      </x:c>
      <x:c r="D16" s="84" t="n">
        <x:v>0</x:v>
      </x:c>
      <x:c r="E16" s="69" t="n">
        <x:f>B16*C16</x:f>
        <x:v>7.7</x:v>
      </x:c>
      <x:c r="F16" s="69" t="n">
        <x:f>B16-E16</x:f>
        <x:v>0</x:v>
      </x:c>
      <x:c r="G16" s="68" t="str">
        <x:v>Dense Wooded</x:v>
      </x:c>
      <x:c r="H16" s="105" t="str">
        <x:v>Dense wooded pasture</x:v>
      </x:c>
    </x:row>
    <x:row r="17">
      <x:c r="A17" s="99" t="str">
        <x:v>Bonus Pasture</x:v>
      </x:c>
      <x:c r="B17" s="69" t="n">
        <x:v>8.2</x:v>
      </x:c>
      <x:c r="C17" s="84" t="n">
        <x:v>0.5</x:v>
      </x:c>
      <x:c r="D17" s="84" t="n">
        <x:v>0</x:v>
      </x:c>
      <x:c r="E17" s="69" t="n">
        <x:f>B17*C17</x:f>
        <x:v>4.1</x:v>
      </x:c>
      <x:c r="F17" s="69" t="n">
        <x:f>B17-E17</x:f>
        <x:v>4.1</x:v>
      </x:c>
      <x:c r="G17" s="68" t="str">
        <x:v>Mixed</x:v>
      </x:c>
      <x:c r="H17" s="105" t="str">
        <x:v>Half treated as dense wooded</x:v>
      </x:c>
    </x:row>
    <x:row r="18">
      <x:c r="A18" s="99" t="str">
        <x:v>Bonus Pasture</x:v>
      </x:c>
      <x:c r="B18" s="69" t="n">
        <x:v>14.4</x:v>
      </x:c>
      <x:c r="C18" s="84" t="n">
        <x:v>1</x:v>
      </x:c>
      <x:c r="D18" s="84" t="n">
        <x:v>0</x:v>
      </x:c>
      <x:c r="E18" s="69" t="n">
        <x:f>B18*C18</x:f>
        <x:v>14.4</x:v>
      </x:c>
      <x:c r="F18" s="69" t="n">
        <x:f>B18-E18</x:f>
        <x:v>0</x:v>
      </x:c>
      <x:c r="G18" s="68" t="str">
        <x:v>Dense Wooded</x:v>
      </x:c>
      <x:c r="H18" s="105" t="str">
        <x:v>Dense wooded pasture</x:v>
      </x:c>
    </x:row>
    <x:row r="19">
      <x:c r="A19" s="99" t="str">
        <x:v>Bonus Pasture</x:v>
      </x:c>
      <x:c r="B19" s="69" t="n">
        <x:v>4.9</x:v>
      </x:c>
      <x:c r="C19" s="84" t="n">
        <x:v>1</x:v>
      </x:c>
      <x:c r="D19" s="84" t="n">
        <x:v>0</x:v>
      </x:c>
      <x:c r="E19" s="69" t="n">
        <x:f>B19*C19</x:f>
        <x:v>4.9</x:v>
      </x:c>
      <x:c r="F19" s="69" t="n">
        <x:f>B19-E19</x:f>
        <x:v>0</x:v>
      </x:c>
      <x:c r="G19" s="68" t="str">
        <x:v>Dense Wooded</x:v>
      </x:c>
      <x:c r="H19" s="105" t="str">
        <x:v>Dense wooded pasture</x:v>
      </x:c>
    </x:row>
    <x:row r="20">
      <x:c r="A20" s="99" t="str">
        <x:v>Bonus Pasture</x:v>
      </x:c>
      <x:c r="B20" s="69" t="n">
        <x:v>3.8</x:v>
      </x:c>
      <x:c r="C20" s="84" t="n">
        <x:v>0</x:v>
      </x:c>
      <x:c r="D20" s="84" t="n">
        <x:v>0</x:v>
      </x:c>
      <x:c r="E20" s="69" t="n">
        <x:f>B20*C20</x:f>
        <x:v>0</x:v>
      </x:c>
      <x:c r="F20" s="69" t="n">
        <x:f>B20-E20</x:f>
        <x:v>3.8</x:v>
      </x:c>
      <x:c r="G20" s="68" t="str">
        <x:v>Open / Lightly Wooded</x:v>
      </x:c>
      <x:c r="H20" s="105" t="str"/>
    </x:row>
    <x:row r="21">
      <x:c r="A21" s="99"/>
      <x:c r="B21" s="69"/>
      <x:c r="C21" s="68"/>
      <x:c r="D21" s="68"/>
      <x:c r="E21" s="69"/>
      <x:c r="F21" s="69"/>
      <x:c r="G21" s="68"/>
      <x:c r="H21" s="105"/>
    </x:row>
    <x:row r="22">
      <x:c r="A22" s="128" t="str">
        <x:v>TOTALS</x:v>
      </x:c>
      <x:c r="B22" s="129" t="n">
        <x:f>SUM(B5:B20)</x:f>
        <x:v>99.60000000000001</x:v>
      </x:c>
      <x:c r="C22" s="130"/>
      <x:c r="D22" s="130"/>
      <x:c r="E22" s="129" t="n">
        <x:f>SUM(E5:E20)</x:f>
        <x:v>55.83333333333333</x:v>
      </x:c>
      <x:c r="F22" s="129" t="n">
        <x:f>SUM(F5:F20)</x:f>
        <x:v>43.766666666666666</x:v>
      </x:c>
      <x:c r="G22" s="130"/>
      <x:c r="H22" s="131"/>
    </x:row>
    <x:row r="23">
      <x:c r="A23" s="67"/>
      <x:c r="B23" s="87"/>
      <x:c r="C23" s="67"/>
      <x:c r="D23" s="67"/>
      <x:c r="E23" s="67"/>
      <x:c r="F23" s="67"/>
      <x:c r="G23" s="67"/>
      <x:c r="H23" s="67"/>
    </x:row>
    <x:row r="24">
      <x:c r="A24" s="88" t="str">
        <x:v>Check</x:v>
      </x:c>
      <x:c r="B24" s="89" t="str">
        <x:v>Site Pasture Total</x:v>
      </x:c>
      <x:c r="C24" s="88"/>
      <x:c r="D24" s="88"/>
      <x:c r="E24" s="88" t="n">
        <x:f>SUMIF(A5:A20,"Site Pasture",B5:B20)</x:f>
        <x:v>45.1</x:v>
      </x:c>
      <x:c r="F24" s="67"/>
      <x:c r="G24" s="67"/>
      <x:c r="H24" s="67"/>
    </x:row>
    <x:row r="25">
      <x:c r="A25" s="88" t="str">
        <x:v>Check</x:v>
      </x:c>
      <x:c r="B25" s="89" t="str">
        <x:v>Bonus Pasture Total</x:v>
      </x:c>
      <x:c r="C25" s="88"/>
      <x:c r="D25" s="88"/>
      <x:c r="E25" s="88" t="n">
        <x:f>SUMIF(A5:A20,"Bonus Pasture",B5:B20)</x:f>
        <x:v>54.49999999999999</x:v>
      </x:c>
      <x:c r="F25" s="67"/>
      <x:c r="G25" s="67"/>
      <x:c r="H25" s="67"/>
    </x:row>
    <x:row r="26">
      <x:c r="A26" s="88" t="str">
        <x:v>Check</x:v>
      </x:c>
      <x:c r="B26" s="89" t="str">
        <x:v>Combined Total</x:v>
      </x:c>
      <x:c r="C26" s="88"/>
      <x:c r="D26" s="88"/>
      <x:c r="E26" s="88" t="n">
        <x:f>SUM(B5:B20)</x:f>
        <x:v>99.60000000000001</x:v>
      </x:c>
      <x:c r="F26" s="67"/>
      <x:c r="G26" s="67"/>
      <x:c r="H26" s="67"/>
    </x:row>
    <x:row r="27">
      <x:c r="A27" s="67"/>
      <x:c r="B27" s="67"/>
      <x:c r="C27" s="67"/>
      <x:c r="D27" s="67"/>
      <x:c r="E27" s="67"/>
      <x:c r="F27" s="67"/>
      <x:c r="G27" s="67"/>
      <x:c r="H27" s="67"/>
    </x:row>
    <x:row r="28">
      <x:c r="A28" s="67"/>
      <x:c r="B28" s="67"/>
      <x:c r="C28" s="67"/>
      <x:c r="D28" s="67"/>
      <x:c r="E28" s="67"/>
      <x:c r="F28" s="67"/>
      <x:c r="G28" s="67"/>
      <x:c r="H28" s="67"/>
    </x:row>
    <x:row r="29">
      <x:c r="A29" s="67"/>
      <x:c r="B29" s="67"/>
      <x:c r="C29" s="67"/>
      <x:c r="D29" s="67"/>
      <x:c r="E29" s="67"/>
      <x:c r="F29" s="67"/>
      <x:c r="G29" s="67"/>
      <x:c r="H29" s="67"/>
    </x:row>
    <x:row r="30">
      <x:c r="A30" s="67"/>
      <x:c r="B30" s="67"/>
      <x:c r="C30" s="67"/>
      <x:c r="D30" s="67"/>
      <x:c r="E30" s="67"/>
      <x:c r="F30" s="67"/>
      <x:c r="G30" s="67"/>
      <x:c r="H30" s="67"/>
    </x:row>
  </x:sheetData>
  <x:mergeCells>
    <x:mergeCell ref="A1:H1"/>
    <x:mergeCell ref="A2:H2"/>
  </x:mergeCells>
  <x:pageMargins left="0.7" right="0.7" top="0.75" bottom="0.75" header="0.3" footer="0.3"/>
</x:worksheet>
</file>